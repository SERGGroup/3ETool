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PietroUngar/PycharmProjects/ExergoEconomicAnalysis/ExergoEconomicAnalysisClasses/test/testResources/"/>
    </mc:Choice>
  </mc:AlternateContent>
  <xr:revisionPtr revIDLastSave="0" documentId="13_ncr:1_{E9113A77-1F91-CD42-9392-326EB926D838}" xr6:coauthVersionLast="45" xr6:coauthVersionMax="45" xr10:uidLastSave="{00000000-0000-0000-0000-000000000000}"/>
  <bookViews>
    <workbookView xWindow="-20" yWindow="480" windowWidth="25600" windowHeight="14540" activeTab="5" xr2:uid="{00000000-000D-0000-FFFF-FFFF00000000}"/>
  </bookViews>
  <sheets>
    <sheet name="Componenti" sheetId="1" r:id="rId1"/>
    <sheet name="Stream" sheetId="9" r:id="rId2"/>
    <sheet name="Supporto" sheetId="8" state="veryHidden" r:id="rId3"/>
    <sheet name="Stream Out - 04 Dec - 21.57" sheetId="10" r:id="rId4"/>
    <sheet name="Comp Out - 04 Dec - 21.57" sheetId="11" r:id="rId5"/>
    <sheet name="Eff Out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9" l="1"/>
</calcChain>
</file>

<file path=xl/sharedStrings.xml><?xml version="1.0" encoding="utf-8"?>
<sst xmlns="http://schemas.openxmlformats.org/spreadsheetml/2006/main" count="95" uniqueCount="83">
  <si>
    <t>Expander</t>
  </si>
  <si>
    <t>Heat Exchanger</t>
  </si>
  <si>
    <t>Heat Exchanger - Multi Fuel</t>
  </si>
  <si>
    <t>Heat Exchanger - Multi Product</t>
  </si>
  <si>
    <t>Condenser</t>
  </si>
  <si>
    <t>Evaporator</t>
  </si>
  <si>
    <t>Mixer</t>
  </si>
  <si>
    <t>Pump</t>
  </si>
  <si>
    <t>Compressor</t>
  </si>
  <si>
    <t>Separator</t>
  </si>
  <si>
    <t>Valve</t>
  </si>
  <si>
    <t>Usefull Effect Output</t>
  </si>
  <si>
    <t>Fuel Input</t>
  </si>
  <si>
    <t>Alternator</t>
  </si>
  <si>
    <t>Combustion Chamber</t>
  </si>
  <si>
    <t>Boiler</t>
  </si>
  <si>
    <t>Generic Block</t>
  </si>
  <si>
    <r>
      <t xml:space="preserve">Index </t>
    </r>
    <r>
      <rPr>
        <b/>
        <i/>
        <sz val="12"/>
        <color theme="1"/>
        <rFont val="AbadiMT-CondensedLight"/>
      </rPr>
      <t>(sequantial)</t>
    </r>
  </si>
  <si>
    <r>
      <t xml:space="preserve">Name </t>
    </r>
    <r>
      <rPr>
        <b/>
        <i/>
        <sz val="12"/>
        <color theme="1"/>
        <rFont val="AbadiMT-CondensedLight"/>
      </rPr>
      <t>(optional)</t>
    </r>
  </si>
  <si>
    <t>Component Type</t>
  </si>
  <si>
    <r>
      <t xml:space="preserve">Cost Input </t>
    </r>
    <r>
      <rPr>
        <b/>
        <i/>
        <sz val="12"/>
        <color theme="1"/>
        <rFont val="AbadiMT-CondensedLight"/>
      </rPr>
      <t>[€/s]</t>
    </r>
  </si>
  <si>
    <r>
      <rPr>
        <b/>
        <sz val="12"/>
        <color theme="1"/>
        <rFont val="AbadiMT-CondensedLight"/>
      </rPr>
      <t>Connected Stream</t>
    </r>
    <r>
      <rPr>
        <b/>
        <i/>
        <sz val="12"/>
        <color theme="1"/>
        <rFont val="AbadiMT-CondensedLight"/>
      </rPr>
      <t xml:space="preserve"> (insert Stream index)</t>
    </r>
  </si>
  <si>
    <t>Turbine</t>
  </si>
  <si>
    <t>Power Axis</t>
  </si>
  <si>
    <t>Natural Gas</t>
  </si>
  <si>
    <t>Electrical Power</t>
  </si>
  <si>
    <t>Cogenerator HE</t>
  </si>
  <si>
    <t>Index</t>
  </si>
  <si>
    <t>Name (Optional)</t>
  </si>
  <si>
    <t>Exergy [kW]</t>
  </si>
  <si>
    <t>Air Intake</t>
  </si>
  <si>
    <t>Compressor Output</t>
  </si>
  <si>
    <t>CC Output</t>
  </si>
  <si>
    <t>Turbine Output</t>
  </si>
  <si>
    <t>Fumes Output</t>
  </si>
  <si>
    <t>Heat User Input</t>
  </si>
  <si>
    <t>Heat User Input - Effect</t>
  </si>
  <si>
    <t>Heat User Input - Loss</t>
  </si>
  <si>
    <t>Turbine Power Output</t>
  </si>
  <si>
    <t>Compressor Power Input</t>
  </si>
  <si>
    <t>Alternator Input</t>
  </si>
  <si>
    <t>Stream</t>
  </si>
  <si>
    <t>Point Name</t>
  </si>
  <si>
    <t>Air Intake</t>
  </si>
  <si>
    <t>Compressor Output</t>
  </si>
  <si>
    <t>CC Output</t>
  </si>
  <si>
    <t>Turbine Output</t>
  </si>
  <si>
    <t>Fumes Output</t>
  </si>
  <si>
    <t>Heat User Input</t>
  </si>
  <si>
    <t>Heat User Input - Effect</t>
  </si>
  <si>
    <t>Heat User Input - Loss</t>
  </si>
  <si>
    <t>Turbine Power Output</t>
  </si>
  <si>
    <t>Compressor Power Input</t>
  </si>
  <si>
    <t>Alternator Input</t>
  </si>
  <si>
    <t>Fuel Input</t>
  </si>
  <si>
    <t>Exergia Uscita Alternatore</t>
  </si>
  <si>
    <t>Exergy Value [kW]</t>
  </si>
  <si>
    <t>Specific Cost [Euro/kJ]</t>
  </si>
  <si>
    <t>Total Cost [Euro/s]</t>
  </si>
  <si>
    <t>index</t>
  </si>
  <si>
    <t>Component Name</t>
  </si>
  <si>
    <t>Compressor</t>
  </si>
  <si>
    <t>Combustion Chamber</t>
  </si>
  <si>
    <t>Turbine</t>
  </si>
  <si>
    <t>Power Axis</t>
  </si>
  <si>
    <t>Cogenerator HE</t>
  </si>
  <si>
    <t>Alternator</t>
  </si>
  <si>
    <t>EXDL [kW]</t>
  </si>
  <si>
    <t>Exergy Distruction [kW]</t>
  </si>
  <si>
    <t>Exergy Loss [kW]</t>
  </si>
  <si>
    <t>r_k[-]</t>
  </si>
  <si>
    <t>eta_k [-]</t>
  </si>
  <si>
    <t>f_k [-]</t>
  </si>
  <si>
    <t>y_k [-]</t>
  </si>
  <si>
    <t>direct ETA [-]</t>
  </si>
  <si>
    <t>indirect ETA [-]</t>
  </si>
  <si>
    <t>Name</t>
  </si>
  <si>
    <t>Heat User Input - Effect</t>
  </si>
  <si>
    <t>Exergia Uscita Alternatore</t>
  </si>
  <si>
    <t>Exergy [kW]</t>
  </si>
  <si>
    <t>Relative Cost [Euro/kJ]</t>
  </si>
  <si>
    <t>Relative Cost [Euro/kWh]</t>
  </si>
  <si>
    <t>Tot Cost [Euro/s]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</si>
</sst>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9">
    <font>
      <sz val="12"/>
      <color theme="1"/>
      <name val="AbadiMT-CondensedLight"/>
      <family val="2"/>
    </font>
    <font>
      <b/>
      <sz val="12"/>
      <color rgb="FFFF0000"/>
      <name val="AbadiMT-CondensedLight"/>
    </font>
    <font>
      <b/>
      <sz val="12"/>
      <color theme="1"/>
      <name val="AbadiMT-CondensedLight"/>
    </font>
    <font>
      <i/>
      <sz val="10"/>
      <color theme="1"/>
      <name val="AbadiMT-CondensedLight"/>
    </font>
    <font>
      <i/>
      <sz val="10"/>
      <name val="AbadiMT-CondensedLight"/>
    </font>
    <font>
      <sz val="12"/>
      <color rgb="FF000000"/>
      <name val="AbadiMT-CondensedLight"/>
    </font>
    <font>
      <b/>
      <i/>
      <sz val="12"/>
      <color theme="1"/>
      <name val="AbadiMT-CondensedLight"/>
    </font>
    <font>
      <sz val="12"/>
      <color theme="1"/>
      <name val="AbadiMT-CondensedLight"/>
    </font>
    <font>
      <i/>
      <sz val="12"/>
      <color theme="1"/>
      <name val="AbadiMT-CondensedLight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/>
    <xf numFmtId="11" fontId="2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0" fontId="6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13</xdr:row>
          <xdr:rowOff>38100</xdr:rowOff>
        </xdr:from>
        <xdr:to>
          <xdr:col>1</xdr:col>
          <xdr:colOff>1778000</xdr:colOff>
          <xdr:row>15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Enter Suggestions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16</xdr:row>
          <xdr:rowOff>38100</xdr:rowOff>
        </xdr:from>
        <xdr:to>
          <xdr:col>1</xdr:col>
          <xdr:colOff>1778000</xdr:colOff>
          <xdr:row>18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Generate 'Stream'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954A-AEA3-7C47-8FAB-A38AAF51260C}">
  <sheetPr codeName="Foglio1"/>
  <dimension ref="A1:V34"/>
  <sheetViews>
    <sheetView zoomScale="93" workbookViewId="0">
      <selection activeCell="L18" sqref="L18"/>
    </sheetView>
  </sheetViews>
  <sheetFormatPr baseColWidth="10" defaultColWidth="18.83203125" defaultRowHeight="16"/>
  <cols>
    <col min="1" max="1" width="15.1640625" style="5" bestFit="1" customWidth="1"/>
    <col min="2" max="2" width="23.6640625" style="6" bestFit="1" customWidth="1"/>
    <col min="3" max="3" width="22.6640625" style="6" customWidth="1"/>
    <col min="4" max="4" width="14" style="2" bestFit="1" customWidth="1"/>
    <col min="5" max="5" width="12.33203125" customWidth="1"/>
    <col min="6" max="16384" width="18.83203125" style="7"/>
  </cols>
  <sheetData>
    <row r="1" spans="1:12">
      <c r="A1" s="3" t="s">
        <v>17</v>
      </c>
      <c r="B1" s="16" t="s">
        <v>18</v>
      </c>
      <c r="C1" s="16" t="s">
        <v>19</v>
      </c>
      <c r="D1" s="21" t="s">
        <v>20</v>
      </c>
      <c r="E1" s="3"/>
      <c r="F1" s="23" t="s">
        <v>21</v>
      </c>
      <c r="G1" s="23"/>
      <c r="H1" s="23"/>
      <c r="I1" s="23"/>
      <c r="J1" s="23"/>
      <c r="K1" s="23"/>
      <c r="L1" s="23"/>
    </row>
    <row r="3" spans="1:12">
      <c r="A3" s="5">
        <v>1</v>
      </c>
      <c r="B3" s="19" t="s">
        <v>8</v>
      </c>
      <c r="C3" s="6" t="s">
        <v>8</v>
      </c>
      <c r="D3" s="2">
        <v>5.0000000000000001E-3</v>
      </c>
      <c r="E3" s="2"/>
      <c r="F3" s="7">
        <v>21</v>
      </c>
      <c r="G3" s="7">
        <v>1</v>
      </c>
      <c r="H3" s="8">
        <v>2</v>
      </c>
      <c r="I3" s="9"/>
      <c r="K3" s="12"/>
    </row>
    <row r="4" spans="1:12">
      <c r="A4" s="5">
        <v>2</v>
      </c>
      <c r="B4" s="19" t="s">
        <v>14</v>
      </c>
      <c r="C4" s="6" t="s">
        <v>14</v>
      </c>
      <c r="D4" s="2">
        <v>5.0000000000000001E-4</v>
      </c>
      <c r="E4" s="5"/>
      <c r="F4" s="7">
        <v>30</v>
      </c>
      <c r="G4" s="7">
        <v>2</v>
      </c>
      <c r="H4" s="9">
        <v>3</v>
      </c>
      <c r="I4" s="9"/>
      <c r="J4" s="12"/>
    </row>
    <row r="5" spans="1:12">
      <c r="A5" s="5">
        <v>3</v>
      </c>
      <c r="B5" s="19" t="s">
        <v>22</v>
      </c>
      <c r="C5" s="6" t="s">
        <v>0</v>
      </c>
      <c r="D5" s="2">
        <v>5.0000000000000001E-3</v>
      </c>
      <c r="E5" s="5"/>
      <c r="F5" s="7">
        <v>20</v>
      </c>
      <c r="G5" s="7">
        <v>3</v>
      </c>
      <c r="H5" s="9">
        <v>4</v>
      </c>
      <c r="I5" s="9"/>
      <c r="J5" s="9"/>
    </row>
    <row r="6" spans="1:12">
      <c r="A6" s="5">
        <v>4</v>
      </c>
      <c r="B6" s="19" t="s">
        <v>23</v>
      </c>
      <c r="C6" s="6" t="s">
        <v>6</v>
      </c>
      <c r="D6" s="2">
        <v>0</v>
      </c>
      <c r="E6" s="5"/>
      <c r="F6" s="7">
        <v>20</v>
      </c>
      <c r="G6" s="7">
        <v>-21</v>
      </c>
      <c r="H6" s="9">
        <v>-22</v>
      </c>
      <c r="I6" s="9">
        <v>-1000</v>
      </c>
      <c r="J6" s="9"/>
    </row>
    <row r="7" spans="1:12">
      <c r="A7" s="5">
        <v>5</v>
      </c>
      <c r="B7" s="19" t="s">
        <v>26</v>
      </c>
      <c r="C7" s="6" t="s">
        <v>3</v>
      </c>
      <c r="D7" s="2">
        <v>1E-3</v>
      </c>
      <c r="E7" s="5"/>
      <c r="F7" s="7">
        <v>4</v>
      </c>
      <c r="G7" s="7">
        <v>5</v>
      </c>
      <c r="H7" s="9">
        <v>11</v>
      </c>
      <c r="I7" s="9">
        <v>-12</v>
      </c>
      <c r="J7" s="9">
        <v>-13</v>
      </c>
      <c r="K7" s="7">
        <v>-1000</v>
      </c>
    </row>
    <row r="8" spans="1:12">
      <c r="A8" s="5">
        <v>6</v>
      </c>
      <c r="B8" s="19" t="s">
        <v>13</v>
      </c>
      <c r="C8" s="6" t="s">
        <v>13</v>
      </c>
      <c r="D8" s="2">
        <v>1E-4</v>
      </c>
      <c r="E8" s="5"/>
      <c r="F8" s="7">
        <v>0.9</v>
      </c>
      <c r="G8" s="7">
        <v>22</v>
      </c>
      <c r="H8" s="9">
        <v>-1000</v>
      </c>
      <c r="I8" s="9"/>
    </row>
    <row r="9" spans="1:12">
      <c r="A9" s="17">
        <v>-1</v>
      </c>
      <c r="B9" s="19" t="s">
        <v>24</v>
      </c>
      <c r="C9" s="18" t="s">
        <v>12</v>
      </c>
      <c r="D9" s="2">
        <v>2.0000000000000001E-4</v>
      </c>
      <c r="E9" s="4"/>
      <c r="F9" s="7">
        <v>30</v>
      </c>
      <c r="G9" s="7">
        <v>-1000</v>
      </c>
      <c r="I9" s="9"/>
    </row>
    <row r="10" spans="1:12">
      <c r="A10" s="17">
        <v>0</v>
      </c>
      <c r="B10" s="19" t="s">
        <v>25</v>
      </c>
      <c r="C10" s="18" t="s">
        <v>11</v>
      </c>
      <c r="D10" s="2">
        <v>0</v>
      </c>
      <c r="F10" s="7">
        <v>12</v>
      </c>
      <c r="G10" s="7">
        <v>-1000</v>
      </c>
      <c r="I10" s="11"/>
      <c r="J10" s="12"/>
      <c r="K10" s="12"/>
    </row>
    <row r="11" spans="1:12" ht="14">
      <c r="A11" s="7"/>
      <c r="B11" s="7"/>
      <c r="C11" s="7"/>
      <c r="D11" s="22"/>
      <c r="E11" s="7"/>
    </row>
    <row r="12" spans="1:12">
      <c r="E12" s="2"/>
      <c r="F12" s="10"/>
      <c r="G12" s="10"/>
      <c r="H12" s="9"/>
      <c r="I12" s="11"/>
    </row>
    <row r="13" spans="1:12">
      <c r="E13" s="2"/>
      <c r="F13" s="10"/>
      <c r="G13" s="10"/>
      <c r="H13" s="9"/>
      <c r="I13" s="11"/>
      <c r="K13" s="12"/>
    </row>
    <row r="14" spans="1:12">
      <c r="E14" s="5"/>
      <c r="H14" s="8"/>
      <c r="I14" s="8"/>
    </row>
    <row r="15" spans="1:12">
      <c r="E15" s="2"/>
      <c r="H15" s="8"/>
      <c r="I15" s="11"/>
    </row>
    <row r="16" spans="1:12">
      <c r="E16" s="2"/>
      <c r="H16" s="8"/>
      <c r="I16" s="8"/>
    </row>
    <row r="17" spans="6:22">
      <c r="N17" s="13"/>
    </row>
    <row r="18" spans="6:22">
      <c r="I18" s="8"/>
      <c r="N18" s="13"/>
    </row>
    <row r="19" spans="6:22">
      <c r="H19" s="8"/>
      <c r="I19" s="8"/>
      <c r="N19" s="14"/>
      <c r="V19" s="15"/>
    </row>
    <row r="20" spans="6:22">
      <c r="H20" s="8"/>
      <c r="I20" s="8"/>
      <c r="N20" s="15"/>
      <c r="V20" s="15"/>
    </row>
    <row r="21" spans="6:22">
      <c r="H21" s="8"/>
      <c r="I21" s="9"/>
      <c r="N21" s="15"/>
      <c r="V21" s="15"/>
    </row>
    <row r="22" spans="6:22">
      <c r="F22" s="10"/>
      <c r="G22" s="10"/>
      <c r="H22" s="9"/>
      <c r="I22" s="9"/>
      <c r="N22" s="15"/>
      <c r="V22" s="15"/>
    </row>
    <row r="23" spans="6:22">
      <c r="F23" s="10"/>
      <c r="G23" s="10"/>
      <c r="H23" s="9"/>
      <c r="I23" s="9"/>
      <c r="N23" s="15"/>
      <c r="V23" s="15"/>
    </row>
    <row r="24" spans="6:22">
      <c r="F24" s="10"/>
      <c r="G24" s="10"/>
      <c r="H24" s="9"/>
      <c r="I24" s="11"/>
      <c r="J24" s="12"/>
    </row>
    <row r="25" spans="6:22">
      <c r="F25" s="10"/>
      <c r="G25" s="10"/>
      <c r="H25" s="9"/>
      <c r="I25" s="11"/>
    </row>
    <row r="26" spans="6:22">
      <c r="F26" s="10"/>
      <c r="G26" s="10"/>
      <c r="H26" s="9"/>
      <c r="I26" s="11"/>
    </row>
    <row r="34" spans="1:5">
      <c r="A34" s="1"/>
      <c r="E34" s="4"/>
    </row>
  </sheetData>
  <mergeCells count="1">
    <mergeCell ref="F1:L1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tHint">
                <anchor moveWithCells="1" sizeWithCells="1">
                  <from>
                    <xdr:col>0</xdr:col>
                    <xdr:colOff>317500</xdr:colOff>
                    <xdr:row>13</xdr:row>
                    <xdr:rowOff>38100</xdr:rowOff>
                  </from>
                  <to>
                    <xdr:col>1</xdr:col>
                    <xdr:colOff>1778000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generateStreamSheet">
                <anchor moveWithCells="1" sizeWithCells="1">
                  <from>
                    <xdr:col>0</xdr:col>
                    <xdr:colOff>317500</xdr:colOff>
                    <xdr:row>16</xdr:row>
                    <xdr:rowOff>38100</xdr:rowOff>
                  </from>
                  <to>
                    <xdr:col>1</xdr:col>
                    <xdr:colOff>1778000</xdr:colOff>
                    <xdr:row>18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AAAC8F-3330-8A45-B57A-40282E019932}">
          <x14:formula1>
            <xm:f>Supporto!$A$1:$A$17</xm:f>
          </x14:formula1>
          <xm:sqref>C8 C3:C7 C9:C10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B03DA-9956-F84F-A4C7-3DCE1149B7A5}">
  <dimension ref="A1:E14"/>
  <sheetViews>
    <sheetView workbookViewId="0">
      <selection activeCell="B24" sqref="B24"/>
    </sheetView>
  </sheetViews>
  <sheetFormatPr baseColWidth="10" defaultRowHeight="16"/>
  <cols>
    <col min="1" max="1" width="10.83203125" style="5"/>
    <col min="2" max="2" width="35.83203125" style="5" customWidth="1"/>
    <col min="3" max="3" width="16.83203125" style="5" customWidth="1"/>
    <col min="5" max="5" width="10.83203125" style="5"/>
  </cols>
  <sheetData>
    <row r="1" spans="1:5" s="20" customFormat="1">
      <c r="A1" s="3" t="s">
        <v>27</v>
      </c>
      <c r="B1" s="3" t="s">
        <v>28</v>
      </c>
      <c r="C1" s="3" t="s">
        <v>29</v>
      </c>
      <c r="E1" s="3"/>
    </row>
    <row r="3" spans="1:5">
      <c r="A3" s="5">
        <v>1</v>
      </c>
      <c r="B3" s="5" t="s">
        <v>30</v>
      </c>
      <c r="C3" s="5">
        <v>0</v>
      </c>
    </row>
    <row r="4" spans="1:5">
      <c r="A4" s="5">
        <v>2</v>
      </c>
      <c r="B4" s="5" t="s">
        <v>31</v>
      </c>
      <c r="C4" s="5">
        <v>500</v>
      </c>
    </row>
    <row r="5" spans="1:5">
      <c r="A5" s="5">
        <v>3</v>
      </c>
      <c r="B5" s="5" t="s">
        <v>32</v>
      </c>
      <c r="C5" s="5">
        <v>2400</v>
      </c>
    </row>
    <row r="6" spans="1:5">
      <c r="A6" s="5">
        <v>4</v>
      </c>
      <c r="B6" s="5" t="s">
        <v>33</v>
      </c>
      <c r="C6" s="5">
        <v>700</v>
      </c>
    </row>
    <row r="7" spans="1:5">
      <c r="A7" s="5">
        <v>5</v>
      </c>
      <c r="B7" s="5" t="s">
        <v>34</v>
      </c>
      <c r="C7" s="5">
        <v>300</v>
      </c>
    </row>
    <row r="8" spans="1:5">
      <c r="A8" s="5">
        <v>11</v>
      </c>
      <c r="B8" s="5" t="s">
        <v>35</v>
      </c>
      <c r="C8" s="5">
        <v>20</v>
      </c>
    </row>
    <row r="9" spans="1:5">
      <c r="A9" s="5">
        <v>12</v>
      </c>
      <c r="B9" s="5" t="s">
        <v>36</v>
      </c>
      <c r="C9" s="5">
        <v>50</v>
      </c>
    </row>
    <row r="10" spans="1:5">
      <c r="A10" s="5">
        <v>13</v>
      </c>
      <c r="B10" s="5" t="s">
        <v>37</v>
      </c>
      <c r="C10" s="5">
        <v>100</v>
      </c>
    </row>
    <row r="11" spans="1:5">
      <c r="A11" s="5">
        <v>20</v>
      </c>
      <c r="B11" s="5" t="s">
        <v>38</v>
      </c>
      <c r="C11" s="5">
        <v>1200</v>
      </c>
    </row>
    <row r="12" spans="1:5">
      <c r="A12" s="5">
        <v>21</v>
      </c>
      <c r="B12" s="5" t="s">
        <v>39</v>
      </c>
      <c r="C12" s="5">
        <v>600</v>
      </c>
    </row>
    <row r="13" spans="1:5">
      <c r="A13" s="5">
        <v>22</v>
      </c>
      <c r="B13" s="5" t="s">
        <v>40</v>
      </c>
      <c r="C13" s="5">
        <f>C11-C12</f>
        <v>600</v>
      </c>
    </row>
    <row r="14" spans="1:5">
      <c r="A14" s="5">
        <v>30</v>
      </c>
      <c r="B14" s="5" t="s">
        <v>12</v>
      </c>
      <c r="C14" s="5">
        <v>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616C-794B-B64D-9096-59A95E7E9604}">
  <sheetPr codeName="Foglio3"/>
  <dimension ref="A1:B17"/>
  <sheetViews>
    <sheetView workbookViewId="0">
      <selection activeCell="B10" sqref="B10"/>
    </sheetView>
  </sheetViews>
  <sheetFormatPr baseColWidth="10" defaultRowHeight="16"/>
  <cols>
    <col min="1" max="1" width="25.83203125" customWidth="1"/>
    <col min="3" max="3" width="15.5" bestFit="1" customWidth="1"/>
  </cols>
  <sheetData>
    <row r="1" spans="1:2">
      <c r="A1" s="6" t="s">
        <v>13</v>
      </c>
    </row>
    <row r="2" spans="1:2">
      <c r="A2" t="s">
        <v>14</v>
      </c>
    </row>
    <row r="3" spans="1:2">
      <c r="A3" t="s">
        <v>15</v>
      </c>
    </row>
    <row r="4" spans="1:2">
      <c r="A4" s="6" t="s">
        <v>8</v>
      </c>
    </row>
    <row r="5" spans="1:2">
      <c r="A5" s="6" t="s">
        <v>4</v>
      </c>
    </row>
    <row r="6" spans="1:2">
      <c r="A6" t="s">
        <v>5</v>
      </c>
    </row>
    <row r="7" spans="1:2">
      <c r="A7" t="s">
        <v>16</v>
      </c>
    </row>
    <row r="8" spans="1:2">
      <c r="A8" t="s">
        <v>12</v>
      </c>
    </row>
    <row r="9" spans="1:2">
      <c r="A9" t="s">
        <v>6</v>
      </c>
    </row>
    <row r="10" spans="1:2">
      <c r="A10" t="s">
        <v>7</v>
      </c>
      <c r="B10" s="6"/>
    </row>
    <row r="11" spans="1:2">
      <c r="A11" t="s">
        <v>1</v>
      </c>
      <c r="B11" s="6"/>
    </row>
    <row r="12" spans="1:2">
      <c r="A12" t="s">
        <v>2</v>
      </c>
      <c r="B12" s="6"/>
    </row>
    <row r="13" spans="1:2">
      <c r="A13" t="s">
        <v>3</v>
      </c>
    </row>
    <row r="14" spans="1:2">
      <c r="A14" t="s">
        <v>9</v>
      </c>
    </row>
    <row r="15" spans="1:2">
      <c r="A15" t="s">
        <v>0</v>
      </c>
    </row>
    <row r="16" spans="1:2">
      <c r="A16" t="s">
        <v>11</v>
      </c>
    </row>
    <row r="17" spans="1:1">
      <c r="A17" t="s">
        <v>10</v>
      </c>
    </row>
  </sheetData>
  <sortState xmlns:xlrd2="http://schemas.microsoft.com/office/spreadsheetml/2017/richdata2" ref="A1:A17">
    <sortCondition ref="A1"/>
  </sortState>
  <dataValidations count="1">
    <dataValidation type="list" allowBlank="1" showInputMessage="1" showErrorMessage="1" sqref="B10:B12" xr:uid="{00000000-0002-0000-0200-000000000000}">
      <formula1>$A$1:$A$17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F15"/>
  <sheetViews>
    <sheetView workbookViewId="0"/>
  </sheetViews>
  <sheetFormatPr baseColWidth="10" defaultColWidth="8.83203125" defaultRowHeight="16"/>
  <cols>
    <col min="2" max="2" width="7.6640625" customWidth="1"/>
    <col min="3" max="3" width="25.6640625" customWidth="1"/>
    <col min="4" max="4" width="18.6640625" customWidth="1"/>
    <col min="5" max="5" width="24.6640625" customWidth="1"/>
    <col min="6" max="6" width="20.6640625" customWidth="1"/>
  </cols>
  <sheetData>
    <row r="2" spans="2:6">
      <c r="B2" t="s">
        <v>41</v>
      </c>
      <c r="C2" t="s">
        <v>42</v>
      </c>
      <c r="D2" t="s">
        <v>56</v>
      </c>
      <c r="E2" t="s">
        <v>57</v>
      </c>
      <c r="F2" t="s">
        <v>58</v>
      </c>
    </row>
    <row r="3" spans="2:6">
      <c r="B3">
        <v>1</v>
      </c>
      <c r="C3" t="s">
        <v>43</v>
      </c>
      <c r="D3">
        <v>0</v>
      </c>
      <c r="E3">
        <v>0</v>
      </c>
      <c r="F3">
        <v>0</v>
      </c>
    </row>
    <row r="4" spans="2:6">
      <c r="B4">
        <v>2</v>
      </c>
      <c r="C4" t="s">
        <v>44</v>
      </c>
      <c r="D4">
        <v>500</v>
      </c>
      <c r="E4">
        <v>4.6248387096774196E-4</v>
      </c>
      <c r="F4">
        <v>0.23124193548387098</v>
      </c>
    </row>
    <row r="5" spans="2:6">
      <c r="B5">
        <v>3</v>
      </c>
      <c r="C5" t="s">
        <v>45</v>
      </c>
      <c r="D5">
        <v>2400</v>
      </c>
      <c r="E5">
        <v>2.6322580645161292E-4</v>
      </c>
      <c r="F5">
        <v>0.63174193548387103</v>
      </c>
    </row>
    <row r="6" spans="2:6">
      <c r="B6">
        <v>4</v>
      </c>
      <c r="C6" t="s">
        <v>46</v>
      </c>
      <c r="D6">
        <v>700</v>
      </c>
      <c r="E6">
        <v>2.6322580645161292E-4</v>
      </c>
      <c r="F6">
        <v>0.18425806451612903</v>
      </c>
    </row>
    <row r="7" spans="2:6">
      <c r="B7">
        <v>5</v>
      </c>
      <c r="C7" t="s">
        <v>47</v>
      </c>
      <c r="D7">
        <v>300</v>
      </c>
      <c r="E7">
        <v>0</v>
      </c>
      <c r="F7">
        <v>0</v>
      </c>
    </row>
    <row r="8" spans="2:6">
      <c r="B8">
        <v>11</v>
      </c>
      <c r="C8" t="s">
        <v>48</v>
      </c>
      <c r="D8">
        <v>20</v>
      </c>
      <c r="E8">
        <v>0</v>
      </c>
      <c r="F8">
        <v>0</v>
      </c>
    </row>
    <row r="9" spans="2:6">
      <c r="B9">
        <v>12</v>
      </c>
      <c r="C9" t="s">
        <v>49</v>
      </c>
      <c r="D9">
        <v>50</v>
      </c>
      <c r="E9">
        <v>3.7051612903225804E-3</v>
      </c>
      <c r="F9">
        <v>0.18525806451612903</v>
      </c>
    </row>
    <row r="10" spans="2:6">
      <c r="B10">
        <v>13</v>
      </c>
      <c r="C10" t="s">
        <v>50</v>
      </c>
      <c r="D10">
        <v>100</v>
      </c>
      <c r="E10">
        <v>0</v>
      </c>
      <c r="F10">
        <v>0</v>
      </c>
    </row>
    <row r="11" spans="2:6">
      <c r="B11">
        <v>20</v>
      </c>
      <c r="C11" t="s">
        <v>51</v>
      </c>
      <c r="D11">
        <v>1200</v>
      </c>
      <c r="E11">
        <v>3.7706989247311831E-4</v>
      </c>
      <c r="F11">
        <v>0.45248387096774195</v>
      </c>
    </row>
    <row r="12" spans="2:6">
      <c r="B12">
        <v>21</v>
      </c>
      <c r="C12" t="s">
        <v>52</v>
      </c>
      <c r="D12">
        <v>600</v>
      </c>
      <c r="E12">
        <v>3.7706989247311831E-4</v>
      </c>
      <c r="F12">
        <v>0.22624193548387098</v>
      </c>
    </row>
    <row r="13" spans="2:6">
      <c r="B13">
        <v>22</v>
      </c>
      <c r="C13" t="s">
        <v>53</v>
      </c>
      <c r="D13">
        <v>600</v>
      </c>
      <c r="E13">
        <v>3.7706989247311831E-4</v>
      </c>
      <c r="F13">
        <v>0.22624193548387098</v>
      </c>
    </row>
    <row r="14" spans="2:6">
      <c r="B14">
        <v>30</v>
      </c>
      <c r="C14" t="s">
        <v>54</v>
      </c>
      <c r="D14">
        <v>2000</v>
      </c>
      <c r="E14">
        <v>2.0000000000000001E-4</v>
      </c>
      <c r="F14">
        <v>0.4</v>
      </c>
    </row>
    <row r="15" spans="2:6">
      <c r="B15">
        <v>31</v>
      </c>
      <c r="C15" t="s">
        <v>55</v>
      </c>
      <c r="D15">
        <v>540</v>
      </c>
      <c r="E15">
        <v>4.1915173237753881E-4</v>
      </c>
      <c r="F15">
        <v>0.22634193548387097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L8"/>
  <sheetViews>
    <sheetView workbookViewId="0"/>
  </sheetViews>
  <sheetFormatPr baseColWidth="10" defaultColWidth="8.83203125" defaultRowHeight="16"/>
  <cols>
    <col min="2" max="2" width="6.6640625" customWidth="1"/>
    <col min="3" max="3" width="19.6640625" customWidth="1"/>
    <col min="5" max="5" width="10.6640625" customWidth="1"/>
    <col min="6" max="6" width="24.6640625" customWidth="1"/>
    <col min="7" max="7" width="17.6640625" customWidth="1"/>
    <col min="9" max="9" width="14.6640625" customWidth="1"/>
    <col min="10" max="10" width="13.6640625" customWidth="1"/>
    <col min="11" max="11" width="15.6640625" customWidth="1"/>
    <col min="12" max="12" width="13.6640625" customWidth="1"/>
  </cols>
  <sheetData>
    <row r="2" spans="2:12">
      <c r="B2" t="s">
        <v>59</v>
      </c>
      <c r="C2" t="s">
        <v>60</v>
      </c>
      <c r="E2" t="s">
        <v>67</v>
      </c>
      <c r="F2" t="s">
        <v>68</v>
      </c>
      <c r="G2" t="s">
        <v>69</v>
      </c>
      <c r="I2" t="s">
        <v>70</v>
      </c>
      <c r="J2" t="s">
        <v>71</v>
      </c>
      <c r="K2" t="s">
        <v>72</v>
      </c>
      <c r="L2" t="s">
        <v>73</v>
      </c>
    </row>
    <row r="3" spans="2:12">
      <c r="B3">
        <v>1</v>
      </c>
      <c r="C3" t="s">
        <v>61</v>
      </c>
      <c r="E3">
        <v>100</v>
      </c>
      <c r="F3">
        <v>100</v>
      </c>
      <c r="G3">
        <v>0</v>
      </c>
      <c r="I3">
        <v>0.22652028231268267</v>
      </c>
      <c r="J3">
        <v>0.83333333333333337</v>
      </c>
      <c r="K3">
        <v>0.11707685529048907</v>
      </c>
      <c r="L3">
        <v>0.16666666666666666</v>
      </c>
    </row>
    <row r="4" spans="2:12">
      <c r="B4">
        <v>2</v>
      </c>
      <c r="C4" t="s">
        <v>62</v>
      </c>
      <c r="E4">
        <v>100</v>
      </c>
      <c r="F4">
        <v>100</v>
      </c>
      <c r="G4">
        <v>0</v>
      </c>
      <c r="I4">
        <v>5.3947368421052848E-2</v>
      </c>
      <c r="J4">
        <v>0.95</v>
      </c>
      <c r="K4">
        <v>2.4390243902439025E-2</v>
      </c>
      <c r="L4">
        <v>0.05</v>
      </c>
    </row>
    <row r="5" spans="2:12">
      <c r="B5">
        <v>3</v>
      </c>
      <c r="C5" t="s">
        <v>63</v>
      </c>
      <c r="E5">
        <v>500</v>
      </c>
      <c r="F5">
        <v>500</v>
      </c>
      <c r="G5">
        <v>0</v>
      </c>
      <c r="I5">
        <v>0.43249591503267976</v>
      </c>
      <c r="J5">
        <v>0.70588235294117652</v>
      </c>
      <c r="K5">
        <v>3.6599763872491142E-2</v>
      </c>
      <c r="L5">
        <v>0.29411764705882354</v>
      </c>
    </row>
    <row r="6" spans="2:12">
      <c r="B6">
        <v>4</v>
      </c>
      <c r="C6" t="s">
        <v>64</v>
      </c>
      <c r="E6">
        <v>0</v>
      </c>
      <c r="F6">
        <v>0</v>
      </c>
      <c r="G6">
        <v>0</v>
      </c>
      <c r="I6">
        <v>0</v>
      </c>
      <c r="J6">
        <v>1</v>
      </c>
      <c r="L6">
        <v>0</v>
      </c>
    </row>
    <row r="7" spans="2:12">
      <c r="B7">
        <v>5</v>
      </c>
      <c r="C7" t="s">
        <v>65</v>
      </c>
      <c r="E7">
        <v>670</v>
      </c>
      <c r="F7">
        <v>270</v>
      </c>
      <c r="G7">
        <v>400</v>
      </c>
      <c r="I7">
        <v>12.405695611577967</v>
      </c>
      <c r="J7">
        <v>7.4999999999999997E-2</v>
      </c>
      <c r="K7">
        <v>3.2296376554914259E-3</v>
      </c>
      <c r="L7">
        <v>1.675</v>
      </c>
    </row>
    <row r="8" spans="2:12">
      <c r="B8">
        <v>6</v>
      </c>
      <c r="C8" t="s">
        <v>66</v>
      </c>
      <c r="E8">
        <v>60</v>
      </c>
      <c r="F8">
        <v>60</v>
      </c>
      <c r="G8">
        <v>0</v>
      </c>
      <c r="I8">
        <v>0.11160222745023472</v>
      </c>
      <c r="J8">
        <v>0.9</v>
      </c>
      <c r="K8">
        <v>4.4005962098090708E-3</v>
      </c>
      <c r="L8">
        <v>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I4"/>
  <sheetViews>
    <sheetView tabSelected="1" workbookViewId="0">
      <selection activeCell="G24" sqref="G24"/>
    </sheetView>
  </sheetViews>
  <sheetFormatPr baseColWidth="10" defaultColWidth="8.83203125" defaultRowHeight="16"/>
  <cols>
    <col min="2" max="2" width="15.6640625" customWidth="1"/>
    <col min="3" max="3" width="13.6640625" customWidth="1"/>
    <col min="5" max="5" width="25.6640625" customWidth="1"/>
    <col min="6" max="6" width="12.6640625" customWidth="1"/>
    <col min="7" max="7" width="24.6640625" customWidth="1"/>
    <col min="8" max="8" width="25.6640625" customWidth="1"/>
    <col min="9" max="9" width="18.6640625" customWidth="1"/>
  </cols>
  <sheetData>
    <row r="2" spans="2:9">
      <c r="B2" t="s">
        <v>74</v>
      </c>
      <c r="C2">
        <v>0.29207920792079206</v>
      </c>
      <c r="E2" t="s">
        <v>76</v>
      </c>
      <c r="F2" t="s">
        <v>79</v>
      </c>
      <c r="G2" t="s">
        <v>80</v>
      </c>
      <c r="H2" t="s">
        <v>81</v>
      </c>
      <c r="I2" t="s">
        <v>82</v>
      </c>
    </row>
    <row r="3" spans="2:9">
      <c r="B3" t="s">
        <v>75</v>
      </c>
      <c r="C3">
        <v>0.29207920792079201</v>
      </c>
      <c r="E3" t="s">
        <v>77</v>
      </c>
      <c r="F3">
        <v>50</v>
      </c>
      <c r="G3">
        <v>3.7051612903225804E-3</v>
      </c>
      <c r="H3">
        <v>13.33858064516129</v>
      </c>
      <c r="I3">
        <v>0.18525806451612903</v>
      </c>
    </row>
    <row r="4" spans="2:9">
      <c r="E4" t="s">
        <v>78</v>
      </c>
      <c r="F4">
        <v>540</v>
      </c>
      <c r="G4">
        <v>4.1915173237753881E-4</v>
      </c>
      <c r="H4">
        <v>1.5089462365591397</v>
      </c>
      <c r="I4">
        <v>0.22634193548387097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Componenti</vt:lpstr>
      <vt:lpstr>Stream</vt:lpstr>
      <vt:lpstr>Stream Out - 04 Dec - 21.57</vt:lpstr>
      <vt:lpstr>Comp Out - 04 Dec - 21.57</vt:lpstr>
      <vt:lpstr>Eff 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 di Microsoft Office</dc:creator>
  <cp:lastModifiedBy>Utente di Microsoft Office</cp:lastModifiedBy>
  <dcterms:created xsi:type="dcterms:W3CDTF">2020-01-23T13:37:50Z</dcterms:created>
  <dcterms:modified xsi:type="dcterms:W3CDTF">2020-12-04T22:45:37Z</dcterms:modified>
</cp:coreProperties>
</file>