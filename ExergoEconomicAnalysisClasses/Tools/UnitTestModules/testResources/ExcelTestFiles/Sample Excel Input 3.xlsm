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PietroUngar/PycharmProjects/ExergoEconomicAnalysis/ExergoEconomicAnalysisClasses/Tools/UnitTestModules/testResources/"/>
    </mc:Choice>
  </mc:AlternateContent>
  <xr:revisionPtr revIDLastSave="0" documentId="13_ncr:1_{4E96ADB4-99B0-DB4E-8295-602DA975882C}" xr6:coauthVersionLast="46" xr6:coauthVersionMax="46" xr10:uidLastSave="{00000000-0000-0000-0000-000000000000}"/>
  <bookViews>
    <workbookView xWindow="0" yWindow="460" windowWidth="25600" windowHeight="14540" activeTab="3" xr2:uid="{00000000-000D-0000-FFFF-FFFF00000000}"/>
  </bookViews>
  <sheets>
    <sheet name="Componenti" sheetId="1" r:id="rId1"/>
    <sheet name="Stream" sheetId="9" r:id="rId2"/>
    <sheet name="Supporto" sheetId="8" state="veryHidden" r:id="rId3"/>
    <sheet name="Stream Out" sheetId="10" r:id="rId4"/>
    <sheet name="Comp Out" sheetId="11" r:id="rId5"/>
    <sheet name="Eff Out" sheetId="1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</calcChain>
</file>

<file path=xl/sharedStrings.xml><?xml version="1.0" encoding="utf-8"?>
<sst xmlns="http://schemas.openxmlformats.org/spreadsheetml/2006/main" count="120" uniqueCount="104">
  <si>
    <t>Expander</t>
  </si>
  <si>
    <t>Heat Exchanger</t>
  </si>
  <si>
    <t>Heat Exchanger - Multi Fuel</t>
  </si>
  <si>
    <t>Heat Exchanger - Multi Product</t>
  </si>
  <si>
    <t>Condenser</t>
  </si>
  <si>
    <t>Evaporator</t>
  </si>
  <si>
    <t>Mixer</t>
  </si>
  <si>
    <t>Pump</t>
  </si>
  <si>
    <t>Compressor</t>
  </si>
  <si>
    <t>Separator</t>
  </si>
  <si>
    <t>Valve</t>
  </si>
  <si>
    <t>Usefull Effect Output</t>
  </si>
  <si>
    <t>Fuel Input</t>
  </si>
  <si>
    <t>Alternator</t>
  </si>
  <si>
    <t>Combustion Chamber</t>
  </si>
  <si>
    <t>Boiler</t>
  </si>
  <si>
    <t>Generic Block</t>
  </si>
  <si>
    <r>
      <t xml:space="preserve">Index </t>
    </r>
    <r>
      <rPr>
        <b/>
        <i/>
        <sz val="12"/>
        <color theme="1"/>
        <rFont val="AbadiMT-CondensedLight"/>
      </rPr>
      <t>(sequantial)</t>
    </r>
  </si>
  <si>
    <r>
      <t xml:space="preserve">Name </t>
    </r>
    <r>
      <rPr>
        <b/>
        <i/>
        <sz val="12"/>
        <color theme="1"/>
        <rFont val="AbadiMT-CondensedLight"/>
      </rPr>
      <t>(optional)</t>
    </r>
  </si>
  <si>
    <t>Component Type</t>
  </si>
  <si>
    <r>
      <t xml:space="preserve">Cost Input </t>
    </r>
    <r>
      <rPr>
        <b/>
        <i/>
        <sz val="12"/>
        <color theme="1"/>
        <rFont val="AbadiMT-CondensedLight"/>
      </rPr>
      <t>[€/s]</t>
    </r>
  </si>
  <si>
    <r>
      <rPr>
        <b/>
        <sz val="12"/>
        <color theme="1"/>
        <rFont val="AbadiMT-CondensedLight"/>
      </rPr>
      <t>Connected Stream</t>
    </r>
    <r>
      <rPr>
        <b/>
        <i/>
        <sz val="12"/>
        <color theme="1"/>
        <rFont val="AbadiMT-CondensedLight"/>
      </rPr>
      <t xml:space="preserve"> (insert Stream index)</t>
    </r>
  </si>
  <si>
    <t>Pump - 1</t>
  </si>
  <si>
    <t>Pump - 2</t>
  </si>
  <si>
    <t>Main HE</t>
  </si>
  <si>
    <t>Turbine HP</t>
  </si>
  <si>
    <t>Heat User HE</t>
  </si>
  <si>
    <t>Turbine LP</t>
  </si>
  <si>
    <t>Geothermal Fluid</t>
  </si>
  <si>
    <t>Heat Output</t>
  </si>
  <si>
    <t>Index</t>
  </si>
  <si>
    <t>Name (Optional)</t>
  </si>
  <si>
    <t>Exergy [kW]</t>
  </si>
  <si>
    <t>Pump-1 Output</t>
  </si>
  <si>
    <t>Pump-2 Output</t>
  </si>
  <si>
    <t>Main HE Input</t>
  </si>
  <si>
    <t>Turbine HP Input</t>
  </si>
  <si>
    <t>Turbine HP Output</t>
  </si>
  <si>
    <t>Turbine HL Input</t>
  </si>
  <si>
    <t>Turbine HL Output</t>
  </si>
  <si>
    <t>Condenser Output</t>
  </si>
  <si>
    <t>Thermal User HE Input</t>
  </si>
  <si>
    <t>Thermal User HE Output</t>
  </si>
  <si>
    <t>Geothermal Fluid Input</t>
  </si>
  <si>
    <t>Geothermal Fluid Output</t>
  </si>
  <si>
    <t>Thermal User Input</t>
  </si>
  <si>
    <t>Thermal User Output</t>
  </si>
  <si>
    <t>Turbine HP Power</t>
  </si>
  <si>
    <t>Turbine LP Power</t>
  </si>
  <si>
    <t>Pump-1 Power</t>
  </si>
  <si>
    <t>Pump-2 Power</t>
  </si>
  <si>
    <t>Stream</t>
  </si>
  <si>
    <t>Point Name</t>
  </si>
  <si>
    <t>Pump-1 Output</t>
  </si>
  <si>
    <t>Pump-2 Output</t>
  </si>
  <si>
    <t>Main HE Input</t>
  </si>
  <si>
    <t>Turbine HP Input</t>
  </si>
  <si>
    <t>Turbine HP Output</t>
  </si>
  <si>
    <t>Turbine HL Input</t>
  </si>
  <si>
    <t>Turbine HL Output</t>
  </si>
  <si>
    <t>Condenser Output</t>
  </si>
  <si>
    <t>Thermal User HE Input</t>
  </si>
  <si>
    <t>Thermal User HE Output</t>
  </si>
  <si>
    <t>Geothermal Fluid Input</t>
  </si>
  <si>
    <t>Geothermal Fluid Output</t>
  </si>
  <si>
    <t>Thermal User Input</t>
  </si>
  <si>
    <t>Thermal User Output</t>
  </si>
  <si>
    <t>Turbine HP Power</t>
  </si>
  <si>
    <t>Turbine LP Power</t>
  </si>
  <si>
    <t>Pump-1 Power</t>
  </si>
  <si>
    <t>Pump-2 Power</t>
  </si>
  <si>
    <t>Loss Exergia Condensatore</t>
  </si>
  <si>
    <t>Exergia Uscita Alternatore</t>
  </si>
  <si>
    <t>Exergy Value [kW]</t>
  </si>
  <si>
    <t>Specific Cost [Euro/kJ]</t>
  </si>
  <si>
    <t>Total Cost [Euro/s]</t>
  </si>
  <si>
    <t>index</t>
  </si>
  <si>
    <t>Component Name</t>
  </si>
  <si>
    <t>Pump - 1</t>
  </si>
  <si>
    <t>Pump - 2</t>
  </si>
  <si>
    <t>Mixer</t>
  </si>
  <si>
    <t>Main HE</t>
  </si>
  <si>
    <t>Turbine HP</t>
  </si>
  <si>
    <t>Separator</t>
  </si>
  <si>
    <t>Heat User HE</t>
  </si>
  <si>
    <t>Turbine LP</t>
  </si>
  <si>
    <t>Condenser</t>
  </si>
  <si>
    <t>Alternator</t>
  </si>
  <si>
    <t>EXDL [kW]</t>
  </si>
  <si>
    <t>Exergy Distruction [kW]</t>
  </si>
  <si>
    <t>Exergy Loss [kW]</t>
  </si>
  <si>
    <t>r_k[-]</t>
  </si>
  <si>
    <t>eta_k [-]</t>
  </si>
  <si>
    <t>f_k [-]</t>
  </si>
  <si>
    <t>y_k [-]</t>
  </si>
  <si>
    <t>direct ETA [-]</t>
  </si>
  <si>
    <t>indirect ETA [-]</t>
  </si>
  <si>
    <t>Name</t>
  </si>
  <si>
    <t>Thermal User Output</t>
  </si>
  <si>
    <t>Exergia Uscita Alternatore</t>
  </si>
  <si>
    <t>Exergy [kW]</t>
  </si>
  <si>
    <t>Relative Cost [Euro/kJ]</t>
  </si>
  <si>
    <t>Relative Cost [Euro/kWh]</t>
  </si>
  <si>
    <t>Tot Cost [Euro/s]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</si>
</sst>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E+00"/>
  </numFmts>
  <fonts count="9">
    <font>
      <sz val="12"/>
      <color theme="1"/>
      <name val="AbadiMT-CondensedLight"/>
      <family val="2"/>
    </font>
    <font>
      <b/>
      <sz val="12"/>
      <color rgb="FFFF0000"/>
      <name val="AbadiMT-CondensedLight"/>
    </font>
    <font>
      <b/>
      <sz val="12"/>
      <color theme="1"/>
      <name val="AbadiMT-CondensedLight"/>
    </font>
    <font>
      <i/>
      <sz val="10"/>
      <color theme="1"/>
      <name val="AbadiMT-CondensedLight"/>
    </font>
    <font>
      <i/>
      <sz val="10"/>
      <name val="AbadiMT-CondensedLight"/>
    </font>
    <font>
      <sz val="12"/>
      <color rgb="FF000000"/>
      <name val="AbadiMT-CondensedLight"/>
    </font>
    <font>
      <b/>
      <i/>
      <sz val="12"/>
      <color theme="1"/>
      <name val="AbadiMT-CondensedLight"/>
    </font>
    <font>
      <sz val="12"/>
      <color theme="1"/>
      <name val="AbadiMT-CondensedLight"/>
    </font>
    <font>
      <i/>
      <sz val="12"/>
      <color theme="1"/>
      <name val="AbadiMT-CondensedLight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/>
    <xf numFmtId="0" fontId="6" fillId="0" borderId="0" xfId="0" applyFont="1" applyAlignme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17</xdr:row>
          <xdr:rowOff>38100</xdr:rowOff>
        </xdr:from>
        <xdr:to>
          <xdr:col>1</xdr:col>
          <xdr:colOff>1778000</xdr:colOff>
          <xdr:row>19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 charset="0"/>
                </a:rPr>
                <a:t>Enter Suggestions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20</xdr:row>
          <xdr:rowOff>38100</xdr:rowOff>
        </xdr:from>
        <xdr:to>
          <xdr:col>1</xdr:col>
          <xdr:colOff>1778000</xdr:colOff>
          <xdr:row>22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 charset="0"/>
                </a:rPr>
                <a:t>Generate 'Stream'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8954A-AEA3-7C47-8FAB-A38AAF51260C}">
  <sheetPr codeName="Foglio1"/>
  <dimension ref="A1:V38"/>
  <sheetViews>
    <sheetView zoomScale="93" workbookViewId="0">
      <selection activeCell="D15" sqref="D15"/>
    </sheetView>
  </sheetViews>
  <sheetFormatPr baseColWidth="10" defaultColWidth="18.83203125" defaultRowHeight="16"/>
  <cols>
    <col min="1" max="1" width="15.1640625" style="5" bestFit="1" customWidth="1"/>
    <col min="2" max="2" width="23.6640625" style="6" bestFit="1" customWidth="1"/>
    <col min="3" max="3" width="19.6640625" style="6" customWidth="1"/>
    <col min="4" max="4" width="14" style="5" bestFit="1" customWidth="1"/>
    <col min="5" max="5" width="12.33203125" customWidth="1"/>
    <col min="6" max="16384" width="18.83203125" style="7"/>
  </cols>
  <sheetData>
    <row r="1" spans="1:12">
      <c r="A1" s="3" t="s">
        <v>17</v>
      </c>
      <c r="B1" s="16" t="s">
        <v>18</v>
      </c>
      <c r="C1" s="16" t="s">
        <v>19</v>
      </c>
      <c r="D1" s="3" t="s">
        <v>20</v>
      </c>
      <c r="E1" s="3"/>
      <c r="F1" s="21" t="s">
        <v>21</v>
      </c>
      <c r="G1" s="21"/>
      <c r="H1" s="21"/>
      <c r="I1" s="21"/>
      <c r="J1" s="21"/>
      <c r="K1" s="21"/>
      <c r="L1" s="21"/>
    </row>
    <row r="3" spans="1:12">
      <c r="A3" s="5">
        <v>1</v>
      </c>
      <c r="B3" s="19" t="s">
        <v>22</v>
      </c>
      <c r="C3" s="6" t="s">
        <v>7</v>
      </c>
      <c r="D3" s="5">
        <v>0</v>
      </c>
      <c r="F3" s="7">
        <v>22</v>
      </c>
      <c r="G3" s="7">
        <v>10</v>
      </c>
      <c r="H3" s="7">
        <v>1</v>
      </c>
    </row>
    <row r="4" spans="1:12">
      <c r="A4" s="5">
        <f>A3+1</f>
        <v>2</v>
      </c>
      <c r="B4" s="19" t="s">
        <v>23</v>
      </c>
      <c r="C4" s="6" t="s">
        <v>7</v>
      </c>
      <c r="D4" s="5">
        <v>0</v>
      </c>
      <c r="F4" s="7">
        <v>23</v>
      </c>
      <c r="G4" s="7">
        <v>8</v>
      </c>
      <c r="H4" s="7">
        <v>2</v>
      </c>
    </row>
    <row r="5" spans="1:12">
      <c r="A5" s="5">
        <f t="shared" ref="A5:A12" si="0">A4+1</f>
        <v>3</v>
      </c>
      <c r="B5" s="19" t="s">
        <v>6</v>
      </c>
      <c r="C5" s="6" t="s">
        <v>6</v>
      </c>
      <c r="D5" s="5">
        <v>0</v>
      </c>
      <c r="F5" s="7">
        <v>1</v>
      </c>
      <c r="G5" s="7">
        <v>2</v>
      </c>
      <c r="H5" s="7">
        <v>-3</v>
      </c>
      <c r="I5" s="7">
        <v>-1000</v>
      </c>
    </row>
    <row r="6" spans="1:12">
      <c r="A6" s="5">
        <f t="shared" si="0"/>
        <v>4</v>
      </c>
      <c r="B6" s="19" t="s">
        <v>24</v>
      </c>
      <c r="C6" s="6" t="s">
        <v>1</v>
      </c>
      <c r="D6" s="2">
        <v>5.0000000000000001E-4</v>
      </c>
      <c r="F6" s="7">
        <v>3</v>
      </c>
      <c r="G6" s="7">
        <v>4</v>
      </c>
      <c r="H6" s="7">
        <v>11</v>
      </c>
      <c r="I6" s="7">
        <v>12</v>
      </c>
    </row>
    <row r="7" spans="1:12">
      <c r="A7" s="5">
        <f t="shared" si="0"/>
        <v>5</v>
      </c>
      <c r="B7" s="19" t="s">
        <v>25</v>
      </c>
      <c r="C7" s="6" t="s">
        <v>0</v>
      </c>
      <c r="D7" s="2">
        <v>1E-3</v>
      </c>
      <c r="F7" s="7">
        <v>20</v>
      </c>
      <c r="G7" s="7">
        <v>4</v>
      </c>
      <c r="H7" s="7">
        <v>5</v>
      </c>
    </row>
    <row r="8" spans="1:12">
      <c r="A8" s="5">
        <f t="shared" si="0"/>
        <v>6</v>
      </c>
      <c r="B8" s="19" t="s">
        <v>9</v>
      </c>
      <c r="C8" s="6" t="s">
        <v>9</v>
      </c>
      <c r="D8" s="5">
        <v>0</v>
      </c>
      <c r="F8" s="7">
        <v>5</v>
      </c>
      <c r="G8" s="7">
        <v>-6</v>
      </c>
      <c r="H8" s="7">
        <v>-9</v>
      </c>
      <c r="I8" s="7">
        <v>-1000</v>
      </c>
    </row>
    <row r="9" spans="1:12">
      <c r="A9" s="5">
        <f t="shared" si="0"/>
        <v>7</v>
      </c>
      <c r="B9" s="19" t="s">
        <v>26</v>
      </c>
      <c r="C9" s="6" t="s">
        <v>1</v>
      </c>
      <c r="D9" s="2">
        <v>5.0000000000000001E-4</v>
      </c>
      <c r="E9" s="2"/>
      <c r="F9" s="7">
        <v>13</v>
      </c>
      <c r="G9" s="7">
        <v>14</v>
      </c>
      <c r="H9" s="8">
        <v>9</v>
      </c>
      <c r="I9" s="9">
        <v>10</v>
      </c>
      <c r="K9" s="12"/>
    </row>
    <row r="10" spans="1:12">
      <c r="A10" s="5">
        <f t="shared" si="0"/>
        <v>8</v>
      </c>
      <c r="B10" s="19" t="s">
        <v>27</v>
      </c>
      <c r="C10" s="6" t="s">
        <v>0</v>
      </c>
      <c r="D10" s="2">
        <v>1E-3</v>
      </c>
      <c r="E10" s="5"/>
      <c r="F10" s="7">
        <v>21</v>
      </c>
      <c r="G10" s="7">
        <v>6</v>
      </c>
      <c r="H10" s="9">
        <v>7</v>
      </c>
      <c r="I10" s="9"/>
      <c r="J10" s="12"/>
    </row>
    <row r="11" spans="1:12">
      <c r="A11" s="5">
        <f t="shared" si="0"/>
        <v>9</v>
      </c>
      <c r="B11" s="19" t="s">
        <v>4</v>
      </c>
      <c r="C11" s="6" t="s">
        <v>4</v>
      </c>
      <c r="D11" s="5">
        <v>0</v>
      </c>
      <c r="E11" s="5"/>
      <c r="F11" s="7">
        <v>7</v>
      </c>
      <c r="G11" s="7">
        <v>8</v>
      </c>
      <c r="H11" s="9"/>
      <c r="I11" s="9"/>
      <c r="J11" s="9"/>
    </row>
    <row r="12" spans="1:12">
      <c r="A12" s="5">
        <f t="shared" si="0"/>
        <v>10</v>
      </c>
      <c r="B12" s="19" t="s">
        <v>13</v>
      </c>
      <c r="C12" s="6" t="s">
        <v>13</v>
      </c>
      <c r="D12" s="2">
        <v>1E-4</v>
      </c>
      <c r="E12" s="5"/>
      <c r="F12" s="7">
        <v>0.9</v>
      </c>
      <c r="G12" s="7">
        <v>20</v>
      </c>
      <c r="H12" s="9">
        <v>21</v>
      </c>
      <c r="I12" s="9">
        <v>-22</v>
      </c>
      <c r="J12" s="7">
        <v>-23</v>
      </c>
      <c r="K12" s="9">
        <v>-1000</v>
      </c>
    </row>
    <row r="13" spans="1:12">
      <c r="A13" s="17">
        <v>-1</v>
      </c>
      <c r="B13" s="19" t="s">
        <v>28</v>
      </c>
      <c r="C13" s="18" t="s">
        <v>12</v>
      </c>
      <c r="D13" s="2">
        <v>2.9999999999999999E-7</v>
      </c>
      <c r="E13" s="4"/>
      <c r="F13" s="7">
        <v>11</v>
      </c>
      <c r="G13" s="7">
        <v>-1000</v>
      </c>
      <c r="I13" s="9"/>
    </row>
    <row r="14" spans="1:12">
      <c r="A14" s="17">
        <v>0</v>
      </c>
      <c r="B14" s="19" t="s">
        <v>29</v>
      </c>
      <c r="C14" s="18" t="s">
        <v>11</v>
      </c>
      <c r="D14" s="5">
        <v>0</v>
      </c>
      <c r="F14" s="7">
        <v>14</v>
      </c>
      <c r="G14" s="7">
        <v>-1000</v>
      </c>
      <c r="I14" s="11"/>
      <c r="J14" s="12"/>
      <c r="K14" s="12"/>
    </row>
    <row r="15" spans="1:12" ht="14">
      <c r="A15" s="7"/>
      <c r="B15" s="7"/>
      <c r="C15" s="7"/>
      <c r="D15" s="7"/>
      <c r="E15" s="7"/>
    </row>
    <row r="16" spans="1:12">
      <c r="D16" s="2"/>
      <c r="E16" s="2"/>
      <c r="F16" s="10"/>
      <c r="G16" s="10"/>
      <c r="H16" s="9"/>
      <c r="I16" s="11"/>
    </row>
    <row r="17" spans="4:22">
      <c r="D17" s="2"/>
      <c r="E17" s="2"/>
      <c r="F17" s="10"/>
      <c r="G17" s="10"/>
      <c r="H17" s="9"/>
      <c r="I17" s="11"/>
      <c r="K17" s="12"/>
    </row>
    <row r="18" spans="4:22">
      <c r="D18" s="2"/>
      <c r="E18" s="2"/>
      <c r="H18" s="8"/>
      <c r="I18" s="8"/>
    </row>
    <row r="19" spans="4:22">
      <c r="D19" s="2"/>
      <c r="E19" s="2"/>
      <c r="H19" s="8"/>
      <c r="I19" s="11"/>
    </row>
    <row r="20" spans="4:22">
      <c r="D20" s="2"/>
      <c r="E20" s="2"/>
      <c r="H20" s="8"/>
      <c r="I20" s="8"/>
    </row>
    <row r="21" spans="4:22">
      <c r="N21" s="13"/>
    </row>
    <row r="22" spans="4:22">
      <c r="I22" s="8"/>
      <c r="N22" s="13"/>
    </row>
    <row r="23" spans="4:22">
      <c r="H23" s="8"/>
      <c r="I23" s="8"/>
      <c r="N23" s="14"/>
      <c r="V23" s="15"/>
    </row>
    <row r="24" spans="4:22">
      <c r="H24" s="8"/>
      <c r="I24" s="8"/>
      <c r="N24" s="15"/>
      <c r="V24" s="15"/>
    </row>
    <row r="25" spans="4:22">
      <c r="H25" s="8"/>
      <c r="I25" s="9"/>
      <c r="N25" s="15"/>
      <c r="V25" s="15"/>
    </row>
    <row r="26" spans="4:22">
      <c r="F26" s="10"/>
      <c r="G26" s="10"/>
      <c r="H26" s="9"/>
      <c r="I26" s="9"/>
      <c r="N26" s="15"/>
      <c r="V26" s="15"/>
    </row>
    <row r="27" spans="4:22">
      <c r="F27" s="10"/>
      <c r="G27" s="10"/>
      <c r="H27" s="9"/>
      <c r="I27" s="9"/>
      <c r="N27" s="15"/>
      <c r="V27" s="15"/>
    </row>
    <row r="28" spans="4:22">
      <c r="F28" s="10"/>
      <c r="G28" s="10"/>
      <c r="H28" s="9"/>
      <c r="I28" s="11"/>
      <c r="J28" s="12"/>
    </row>
    <row r="29" spans="4:22">
      <c r="F29" s="10"/>
      <c r="G29" s="10"/>
      <c r="H29" s="9"/>
      <c r="I29" s="11"/>
    </row>
    <row r="30" spans="4:22">
      <c r="F30" s="10"/>
      <c r="G30" s="10"/>
      <c r="H30" s="9"/>
      <c r="I30" s="11"/>
    </row>
    <row r="38" spans="1:5">
      <c r="A38" s="1"/>
      <c r="E38" s="4"/>
    </row>
  </sheetData>
  <mergeCells count="1">
    <mergeCell ref="F1:L1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tHint">
                <anchor moveWithCells="1" sizeWithCells="1">
                  <from>
                    <xdr:col>0</xdr:col>
                    <xdr:colOff>317500</xdr:colOff>
                    <xdr:row>17</xdr:row>
                    <xdr:rowOff>38100</xdr:rowOff>
                  </from>
                  <to>
                    <xdr:col>1</xdr:col>
                    <xdr:colOff>1778000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generateStreamSheet">
                <anchor moveWithCells="1" sizeWithCells="1">
                  <from>
                    <xdr:col>0</xdr:col>
                    <xdr:colOff>317500</xdr:colOff>
                    <xdr:row>20</xdr:row>
                    <xdr:rowOff>38100</xdr:rowOff>
                  </from>
                  <to>
                    <xdr:col>1</xdr:col>
                    <xdr:colOff>1778000</xdr:colOff>
                    <xdr:row>22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AAAC8F-3330-8A45-B57A-40282E019932}">
          <x14:formula1>
            <xm:f>Supporto!$A$1:$A$17</xm:f>
          </x14:formula1>
          <xm:sqref>C3:C14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B26A8-7F30-6B41-9C87-89803C71FDD6}">
  <dimension ref="A1:E20"/>
  <sheetViews>
    <sheetView workbookViewId="0">
      <selection activeCell="C20" sqref="C20"/>
    </sheetView>
  </sheetViews>
  <sheetFormatPr baseColWidth="10" defaultRowHeight="16"/>
  <cols>
    <col min="1" max="1" width="10.83203125" style="5"/>
    <col min="2" max="2" width="35.83203125" style="5" customWidth="1"/>
    <col min="3" max="3" width="16.83203125" style="5" customWidth="1"/>
    <col min="5" max="5" width="10.83203125" style="5"/>
  </cols>
  <sheetData>
    <row r="1" spans="1:5" s="20" customFormat="1">
      <c r="A1" s="3" t="s">
        <v>30</v>
      </c>
      <c r="B1" s="3" t="s">
        <v>31</v>
      </c>
      <c r="C1" s="3" t="s">
        <v>32</v>
      </c>
      <c r="E1" s="3"/>
    </row>
    <row r="3" spans="1:5">
      <c r="A3" s="5">
        <v>1</v>
      </c>
      <c r="B3" s="5" t="s">
        <v>33</v>
      </c>
      <c r="C3" s="5">
        <v>300</v>
      </c>
    </row>
    <row r="4" spans="1:5">
      <c r="A4" s="5">
        <v>2</v>
      </c>
      <c r="B4" s="5" t="s">
        <v>34</v>
      </c>
      <c r="C4" s="5">
        <v>200</v>
      </c>
    </row>
    <row r="5" spans="1:5">
      <c r="A5" s="5">
        <v>3</v>
      </c>
      <c r="B5" s="5" t="s">
        <v>35</v>
      </c>
      <c r="C5" s="5">
        <v>400</v>
      </c>
    </row>
    <row r="6" spans="1:5">
      <c r="A6" s="5">
        <v>4</v>
      </c>
      <c r="B6" s="5" t="s">
        <v>36</v>
      </c>
      <c r="C6" s="5">
        <v>3000</v>
      </c>
    </row>
    <row r="7" spans="1:5">
      <c r="A7" s="5">
        <v>5</v>
      </c>
      <c r="B7" s="5" t="s">
        <v>37</v>
      </c>
      <c r="C7" s="5">
        <v>2000</v>
      </c>
    </row>
    <row r="8" spans="1:5">
      <c r="A8" s="5">
        <v>6</v>
      </c>
      <c r="B8" s="5" t="s">
        <v>38</v>
      </c>
      <c r="C8" s="5">
        <v>1000</v>
      </c>
    </row>
    <row r="9" spans="1:5">
      <c r="A9" s="5">
        <v>7</v>
      </c>
      <c r="B9" s="5" t="s">
        <v>39</v>
      </c>
      <c r="C9" s="5">
        <v>400</v>
      </c>
    </row>
    <row r="10" spans="1:5">
      <c r="A10" s="5">
        <v>8</v>
      </c>
      <c r="B10" s="5" t="s">
        <v>40</v>
      </c>
      <c r="C10" s="5">
        <v>100</v>
      </c>
    </row>
    <row r="11" spans="1:5">
      <c r="A11" s="5">
        <v>9</v>
      </c>
      <c r="B11" s="5" t="s">
        <v>41</v>
      </c>
      <c r="C11" s="5">
        <v>1000</v>
      </c>
    </row>
    <row r="12" spans="1:5">
      <c r="A12" s="5">
        <v>10</v>
      </c>
      <c r="B12" s="5" t="s">
        <v>42</v>
      </c>
      <c r="C12" s="5">
        <v>200</v>
      </c>
    </row>
    <row r="13" spans="1:5">
      <c r="A13" s="5">
        <v>11</v>
      </c>
      <c r="B13" s="5" t="s">
        <v>43</v>
      </c>
      <c r="C13" s="5">
        <v>5000</v>
      </c>
    </row>
    <row r="14" spans="1:5">
      <c r="A14" s="5">
        <v>12</v>
      </c>
      <c r="B14" s="5" t="s">
        <v>44</v>
      </c>
      <c r="C14" s="5">
        <v>1000</v>
      </c>
    </row>
    <row r="15" spans="1:5">
      <c r="A15" s="5">
        <v>13</v>
      </c>
      <c r="B15" s="5" t="s">
        <v>45</v>
      </c>
      <c r="C15" s="5">
        <v>0</v>
      </c>
    </row>
    <row r="16" spans="1:5">
      <c r="A16" s="5">
        <v>14</v>
      </c>
      <c r="B16" s="5" t="s">
        <v>46</v>
      </c>
      <c r="C16" s="5">
        <v>600</v>
      </c>
    </row>
    <row r="17" spans="1:3">
      <c r="A17" s="5">
        <v>20</v>
      </c>
      <c r="B17" s="5" t="s">
        <v>47</v>
      </c>
      <c r="C17" s="5">
        <v>700</v>
      </c>
    </row>
    <row r="18" spans="1:3">
      <c r="A18" s="5">
        <v>21</v>
      </c>
      <c r="B18" s="5" t="s">
        <v>48</v>
      </c>
      <c r="C18" s="5">
        <v>400</v>
      </c>
    </row>
    <row r="19" spans="1:3">
      <c r="A19" s="5">
        <v>22</v>
      </c>
      <c r="B19" s="5" t="s">
        <v>49</v>
      </c>
      <c r="C19" s="5">
        <v>110</v>
      </c>
    </row>
    <row r="20" spans="1:3">
      <c r="A20" s="5">
        <v>23</v>
      </c>
      <c r="B20" s="5" t="s">
        <v>50</v>
      </c>
      <c r="C20" s="5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616C-794B-B64D-9096-59A95E7E9604}">
  <sheetPr codeName="Foglio3"/>
  <dimension ref="A1:B17"/>
  <sheetViews>
    <sheetView workbookViewId="0">
      <selection activeCell="B10" sqref="B10"/>
    </sheetView>
  </sheetViews>
  <sheetFormatPr baseColWidth="10" defaultRowHeight="16"/>
  <cols>
    <col min="1" max="1" width="25.83203125" customWidth="1"/>
    <col min="3" max="3" width="15.5" bestFit="1" customWidth="1"/>
  </cols>
  <sheetData>
    <row r="1" spans="1:2">
      <c r="A1" s="6" t="s">
        <v>13</v>
      </c>
    </row>
    <row r="2" spans="1:2">
      <c r="A2" t="s">
        <v>14</v>
      </c>
    </row>
    <row r="3" spans="1:2">
      <c r="A3" t="s">
        <v>15</v>
      </c>
    </row>
    <row r="4" spans="1:2">
      <c r="A4" s="6" t="s">
        <v>8</v>
      </c>
    </row>
    <row r="5" spans="1:2">
      <c r="A5" s="6" t="s">
        <v>4</v>
      </c>
    </row>
    <row r="6" spans="1:2">
      <c r="A6" t="s">
        <v>5</v>
      </c>
    </row>
    <row r="7" spans="1:2">
      <c r="A7" t="s">
        <v>16</v>
      </c>
    </row>
    <row r="8" spans="1:2">
      <c r="A8" t="s">
        <v>12</v>
      </c>
    </row>
    <row r="9" spans="1:2">
      <c r="A9" t="s">
        <v>6</v>
      </c>
    </row>
    <row r="10" spans="1:2">
      <c r="A10" t="s">
        <v>7</v>
      </c>
      <c r="B10" s="6"/>
    </row>
    <row r="11" spans="1:2">
      <c r="A11" t="s">
        <v>1</v>
      </c>
      <c r="B11" s="6"/>
    </row>
    <row r="12" spans="1:2">
      <c r="A12" t="s">
        <v>2</v>
      </c>
      <c r="B12" s="6"/>
    </row>
    <row r="13" spans="1:2">
      <c r="A13" t="s">
        <v>3</v>
      </c>
    </row>
    <row r="14" spans="1:2">
      <c r="A14" t="s">
        <v>9</v>
      </c>
    </row>
    <row r="15" spans="1:2">
      <c r="A15" t="s">
        <v>0</v>
      </c>
    </row>
    <row r="16" spans="1:2">
      <c r="A16" t="s">
        <v>11</v>
      </c>
    </row>
    <row r="17" spans="1:1">
      <c r="A17" t="s">
        <v>10</v>
      </c>
    </row>
  </sheetData>
  <sortState xmlns:xlrd2="http://schemas.microsoft.com/office/spreadsheetml/2017/richdata2" ref="A1:A17">
    <sortCondition ref="A1"/>
  </sortState>
  <dataValidations count="1">
    <dataValidation type="list" allowBlank="1" showInputMessage="1" showErrorMessage="1" sqref="B10:B12" xr:uid="{00000000-0002-0000-0200-000000000000}">
      <formula1>$A$1:$A$17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F22"/>
  <sheetViews>
    <sheetView tabSelected="1" workbookViewId="0">
      <selection activeCell="F23" sqref="F23"/>
    </sheetView>
  </sheetViews>
  <sheetFormatPr baseColWidth="10" defaultColWidth="8.83203125" defaultRowHeight="16"/>
  <cols>
    <col min="2" max="2" width="7.6640625" customWidth="1"/>
    <col min="3" max="3" width="26.6640625" customWidth="1"/>
    <col min="4" max="4" width="18.6640625" customWidth="1"/>
    <col min="5" max="5" width="24.6640625" customWidth="1"/>
    <col min="6" max="6" width="20.6640625" customWidth="1"/>
  </cols>
  <sheetData>
    <row r="2" spans="2:6">
      <c r="B2" t="s">
        <v>51</v>
      </c>
      <c r="C2" t="s">
        <v>52</v>
      </c>
      <c r="D2" t="s">
        <v>73</v>
      </c>
      <c r="E2" t="s">
        <v>74</v>
      </c>
      <c r="F2" t="s">
        <v>75</v>
      </c>
    </row>
    <row r="3" spans="2:6">
      <c r="B3">
        <v>1</v>
      </c>
      <c r="C3" t="s">
        <v>53</v>
      </c>
      <c r="D3">
        <v>300</v>
      </c>
      <c r="E3">
        <v>2.2971014492753624E-6</v>
      </c>
      <c r="F3">
        <v>6.8913043478260872E-4</v>
      </c>
    </row>
    <row r="4" spans="2:6">
      <c r="B4">
        <v>2</v>
      </c>
      <c r="C4" t="s">
        <v>54</v>
      </c>
      <c r="D4">
        <v>200</v>
      </c>
      <c r="E4">
        <v>4.652173913043478E-6</v>
      </c>
      <c r="F4">
        <v>9.3043478260869557E-4</v>
      </c>
    </row>
    <row r="5" spans="2:6">
      <c r="B5">
        <v>3</v>
      </c>
      <c r="C5" t="s">
        <v>55</v>
      </c>
      <c r="D5">
        <v>400</v>
      </c>
      <c r="E5">
        <v>4.0489130434782605E-6</v>
      </c>
      <c r="F5">
        <v>1.6195652173913043E-3</v>
      </c>
    </row>
    <row r="6" spans="2:6">
      <c r="B6">
        <v>4</v>
      </c>
      <c r="C6" t="s">
        <v>56</v>
      </c>
      <c r="D6">
        <v>3000</v>
      </c>
      <c r="E6">
        <v>1.2065217391304348E-6</v>
      </c>
      <c r="F6">
        <v>3.6195652173913045E-3</v>
      </c>
    </row>
    <row r="7" spans="2:6">
      <c r="B7">
        <v>5</v>
      </c>
      <c r="C7" t="s">
        <v>57</v>
      </c>
      <c r="D7">
        <v>2000</v>
      </c>
      <c r="E7">
        <v>1.2065217391304348E-6</v>
      </c>
      <c r="F7">
        <v>2.4130434782608694E-3</v>
      </c>
    </row>
    <row r="8" spans="2:6">
      <c r="B8">
        <v>6</v>
      </c>
      <c r="C8" t="s">
        <v>58</v>
      </c>
      <c r="D8">
        <v>1000</v>
      </c>
      <c r="E8">
        <v>1.2065217391304348E-6</v>
      </c>
      <c r="F8">
        <v>1.2065217391304347E-3</v>
      </c>
    </row>
    <row r="9" spans="2:6">
      <c r="B9">
        <v>7</v>
      </c>
      <c r="C9" t="s">
        <v>59</v>
      </c>
      <c r="D9">
        <v>400</v>
      </c>
      <c r="E9">
        <v>1.2065217391304346E-6</v>
      </c>
      <c r="F9">
        <v>4.8260869565217382E-4</v>
      </c>
    </row>
    <row r="10" spans="2:6">
      <c r="B10">
        <v>8</v>
      </c>
      <c r="C10" t="s">
        <v>60</v>
      </c>
      <c r="D10">
        <v>100</v>
      </c>
      <c r="E10">
        <v>4.8260869565217384E-6</v>
      </c>
      <c r="F10">
        <v>4.8260869565217382E-4</v>
      </c>
    </row>
    <row r="11" spans="2:6">
      <c r="B11">
        <v>9</v>
      </c>
      <c r="C11" t="s">
        <v>61</v>
      </c>
      <c r="D11">
        <v>1000</v>
      </c>
      <c r="E11">
        <v>1.2065217391304348E-6</v>
      </c>
      <c r="F11">
        <v>1.2065217391304347E-3</v>
      </c>
    </row>
    <row r="12" spans="2:6">
      <c r="B12">
        <v>10</v>
      </c>
      <c r="C12" t="s">
        <v>62</v>
      </c>
      <c r="D12">
        <v>200</v>
      </c>
      <c r="E12">
        <v>1.2065217391304346E-6</v>
      </c>
      <c r="F12">
        <v>2.4130434782608691E-4</v>
      </c>
    </row>
    <row r="13" spans="2:6">
      <c r="B13">
        <v>11</v>
      </c>
      <c r="C13" t="s">
        <v>63</v>
      </c>
      <c r="D13">
        <v>5000</v>
      </c>
      <c r="E13">
        <v>2.9999999999999999E-7</v>
      </c>
      <c r="F13">
        <v>1.5E-3</v>
      </c>
    </row>
    <row r="14" spans="2:6">
      <c r="B14">
        <v>12</v>
      </c>
      <c r="C14" t="s">
        <v>64</v>
      </c>
      <c r="D14">
        <v>1000</v>
      </c>
      <c r="E14">
        <v>0</v>
      </c>
      <c r="F14">
        <v>0</v>
      </c>
    </row>
    <row r="15" spans="2:6">
      <c r="B15">
        <v>13</v>
      </c>
      <c r="C15" t="s">
        <v>65</v>
      </c>
      <c r="D15">
        <v>0</v>
      </c>
      <c r="E15">
        <v>0</v>
      </c>
      <c r="F15">
        <v>0</v>
      </c>
    </row>
    <row r="16" spans="2:6">
      <c r="B16">
        <v>14</v>
      </c>
      <c r="C16" t="s">
        <v>66</v>
      </c>
      <c r="D16">
        <v>600</v>
      </c>
      <c r="E16">
        <v>2.4420289855072462E-6</v>
      </c>
      <c r="F16">
        <v>1.4652173913043476E-3</v>
      </c>
    </row>
    <row r="17" spans="2:6">
      <c r="B17">
        <v>20</v>
      </c>
      <c r="C17" t="s">
        <v>67</v>
      </c>
      <c r="D17">
        <v>700</v>
      </c>
      <c r="E17">
        <v>3.152173913043478E-6</v>
      </c>
      <c r="F17">
        <v>2.2065217391304347E-3</v>
      </c>
    </row>
    <row r="18" spans="2:6">
      <c r="B18">
        <v>21</v>
      </c>
      <c r="C18" t="s">
        <v>68</v>
      </c>
      <c r="D18">
        <v>400</v>
      </c>
      <c r="E18">
        <v>4.3097826086956523E-6</v>
      </c>
      <c r="F18">
        <v>1.723913043478261E-3</v>
      </c>
    </row>
    <row r="19" spans="2:6">
      <c r="B19">
        <v>22</v>
      </c>
      <c r="C19" t="s">
        <v>69</v>
      </c>
      <c r="D19">
        <v>110</v>
      </c>
      <c r="E19">
        <v>4.0711462450592887E-6</v>
      </c>
      <c r="F19">
        <v>4.4782608695652175E-4</v>
      </c>
    </row>
    <row r="20" spans="2:6">
      <c r="B20">
        <v>23</v>
      </c>
      <c r="C20" t="s">
        <v>70</v>
      </c>
      <c r="D20">
        <v>110</v>
      </c>
      <c r="E20">
        <v>4.0711462450592887E-6</v>
      </c>
      <c r="F20">
        <v>4.4782608695652175E-4</v>
      </c>
    </row>
    <row r="21" spans="2:6">
      <c r="B21">
        <v>24</v>
      </c>
      <c r="C21" t="s">
        <v>71</v>
      </c>
      <c r="D21">
        <v>300</v>
      </c>
      <c r="E21">
        <v>0</v>
      </c>
      <c r="F21">
        <v>0</v>
      </c>
    </row>
    <row r="22" spans="2:6">
      <c r="B22">
        <v>25</v>
      </c>
      <c r="C22" t="s">
        <v>72</v>
      </c>
      <c r="D22">
        <v>770</v>
      </c>
      <c r="E22">
        <v>4.0711462450592887E-6</v>
      </c>
      <c r="F22">
        <v>3.1347826086956525E-3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L12"/>
  <sheetViews>
    <sheetView workbookViewId="0"/>
  </sheetViews>
  <sheetFormatPr baseColWidth="10" defaultColWidth="8.83203125" defaultRowHeight="16"/>
  <cols>
    <col min="2" max="2" width="6.6640625" customWidth="1"/>
    <col min="3" max="3" width="15.6640625" customWidth="1"/>
    <col min="5" max="5" width="10.6640625" customWidth="1"/>
    <col min="6" max="6" width="24.6640625" customWidth="1"/>
    <col min="7" max="7" width="17.6640625" customWidth="1"/>
    <col min="9" max="9" width="12.6640625" customWidth="1"/>
    <col min="10" max="11" width="13.6640625" customWidth="1"/>
    <col min="12" max="12" width="14.6640625" customWidth="1"/>
  </cols>
  <sheetData>
    <row r="2" spans="2:12">
      <c r="B2" t="s">
        <v>76</v>
      </c>
      <c r="C2" t="s">
        <v>77</v>
      </c>
      <c r="E2" t="s">
        <v>88</v>
      </c>
      <c r="F2" t="s">
        <v>89</v>
      </c>
      <c r="G2" t="s">
        <v>90</v>
      </c>
      <c r="I2" t="s">
        <v>91</v>
      </c>
      <c r="J2" t="s">
        <v>92</v>
      </c>
      <c r="K2" t="s">
        <v>93</v>
      </c>
      <c r="L2" t="s">
        <v>94</v>
      </c>
    </row>
    <row r="3" spans="2:12">
      <c r="B3">
        <v>1</v>
      </c>
      <c r="C3" t="s">
        <v>78</v>
      </c>
      <c r="E3">
        <v>10</v>
      </c>
      <c r="F3">
        <v>10</v>
      </c>
      <c r="G3">
        <v>0</v>
      </c>
      <c r="I3">
        <v>0.10000000000000002</v>
      </c>
      <c r="J3">
        <v>0.90909090909090906</v>
      </c>
      <c r="K3">
        <v>0</v>
      </c>
      <c r="L3">
        <v>9.0909090909090912E-2</v>
      </c>
    </row>
    <row r="4" spans="2:12">
      <c r="B4">
        <v>2</v>
      </c>
      <c r="C4" t="s">
        <v>79</v>
      </c>
      <c r="E4">
        <v>10</v>
      </c>
      <c r="F4">
        <v>10</v>
      </c>
      <c r="G4">
        <v>0</v>
      </c>
      <c r="I4">
        <v>0.10000000000000002</v>
      </c>
      <c r="J4">
        <v>0.90909090909090906</v>
      </c>
      <c r="K4">
        <v>0</v>
      </c>
      <c r="L4">
        <v>9.0909090909090912E-2</v>
      </c>
    </row>
    <row r="5" spans="2:12">
      <c r="B5">
        <v>3</v>
      </c>
      <c r="C5" t="s">
        <v>80</v>
      </c>
      <c r="E5">
        <v>100</v>
      </c>
      <c r="F5">
        <v>100</v>
      </c>
      <c r="G5">
        <v>0</v>
      </c>
      <c r="I5">
        <v>0.24999999999999994</v>
      </c>
      <c r="J5">
        <v>0.8</v>
      </c>
      <c r="K5">
        <v>0</v>
      </c>
      <c r="L5">
        <v>0.2</v>
      </c>
    </row>
    <row r="6" spans="2:12">
      <c r="B6">
        <v>4</v>
      </c>
      <c r="C6" t="s">
        <v>81</v>
      </c>
      <c r="E6">
        <v>2400</v>
      </c>
      <c r="F6">
        <v>1400</v>
      </c>
      <c r="G6">
        <v>1000</v>
      </c>
      <c r="I6">
        <v>1.0512820512820513</v>
      </c>
      <c r="J6">
        <v>0.65</v>
      </c>
      <c r="K6">
        <v>0.35714285714285715</v>
      </c>
      <c r="L6">
        <v>0.6</v>
      </c>
    </row>
    <row r="7" spans="2:12">
      <c r="B7">
        <v>5</v>
      </c>
      <c r="C7" t="s">
        <v>82</v>
      </c>
      <c r="E7">
        <v>300</v>
      </c>
      <c r="F7">
        <v>300</v>
      </c>
      <c r="G7">
        <v>0</v>
      </c>
      <c r="I7">
        <v>1.6126126126126121</v>
      </c>
      <c r="J7">
        <v>0.7</v>
      </c>
      <c r="K7">
        <v>0.73423782920989622</v>
      </c>
      <c r="L7">
        <v>0.3</v>
      </c>
    </row>
    <row r="8" spans="2:12">
      <c r="B8">
        <v>6</v>
      </c>
      <c r="C8" t="s">
        <v>83</v>
      </c>
      <c r="E8">
        <v>0</v>
      </c>
      <c r="F8">
        <v>0</v>
      </c>
      <c r="G8">
        <v>0</v>
      </c>
      <c r="I8">
        <v>0</v>
      </c>
      <c r="J8">
        <v>1</v>
      </c>
      <c r="L8">
        <v>0</v>
      </c>
    </row>
    <row r="9" spans="2:12">
      <c r="B9">
        <v>7</v>
      </c>
      <c r="C9" t="s">
        <v>84</v>
      </c>
      <c r="E9">
        <v>200</v>
      </c>
      <c r="F9">
        <v>200</v>
      </c>
      <c r="G9">
        <v>0</v>
      </c>
      <c r="I9">
        <v>1.0240240240240241</v>
      </c>
      <c r="J9">
        <v>0.75</v>
      </c>
      <c r="K9">
        <v>0.67448680351906165</v>
      </c>
      <c r="L9">
        <v>0.25</v>
      </c>
    </row>
    <row r="10" spans="2:12">
      <c r="B10">
        <v>8</v>
      </c>
      <c r="C10" t="s">
        <v>85</v>
      </c>
      <c r="E10">
        <v>200</v>
      </c>
      <c r="F10">
        <v>200</v>
      </c>
      <c r="G10">
        <v>0</v>
      </c>
      <c r="I10">
        <v>2.5720720720720727</v>
      </c>
      <c r="J10">
        <v>0.66666666666666663</v>
      </c>
      <c r="K10">
        <v>0.80560420315236436</v>
      </c>
      <c r="L10">
        <v>0.33333333333333331</v>
      </c>
    </row>
    <row r="11" spans="2:12">
      <c r="B11">
        <v>9</v>
      </c>
      <c r="C11" t="s">
        <v>86</v>
      </c>
      <c r="E11">
        <v>300</v>
      </c>
      <c r="F11">
        <v>0</v>
      </c>
      <c r="G11">
        <v>300</v>
      </c>
      <c r="I11">
        <v>3</v>
      </c>
      <c r="J11">
        <v>0.25</v>
      </c>
      <c r="K11">
        <v>0</v>
      </c>
      <c r="L11">
        <v>0.75</v>
      </c>
    </row>
    <row r="12" spans="2:12">
      <c r="B12">
        <v>10</v>
      </c>
      <c r="C12" t="s">
        <v>87</v>
      </c>
      <c r="E12">
        <v>110</v>
      </c>
      <c r="F12">
        <v>110</v>
      </c>
      <c r="G12">
        <v>0</v>
      </c>
      <c r="I12">
        <v>0.13938053097345132</v>
      </c>
      <c r="J12">
        <v>0.9</v>
      </c>
      <c r="K12">
        <v>0.20282186948853617</v>
      </c>
      <c r="L12">
        <v>0.1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I4"/>
  <sheetViews>
    <sheetView workbookViewId="0"/>
  </sheetViews>
  <sheetFormatPr baseColWidth="10" defaultColWidth="8.83203125" defaultRowHeight="16"/>
  <cols>
    <col min="2" max="2" width="15.6640625" customWidth="1"/>
    <col min="3" max="3" width="6.6640625" customWidth="1"/>
    <col min="5" max="5" width="20.6640625" customWidth="1"/>
    <col min="6" max="6" width="12.6640625" customWidth="1"/>
    <col min="7" max="7" width="24.6640625" customWidth="1"/>
    <col min="8" max="8" width="25.6640625" customWidth="1"/>
    <col min="9" max="9" width="18.6640625" customWidth="1"/>
  </cols>
  <sheetData>
    <row r="2" spans="2:9">
      <c r="B2" t="s">
        <v>95</v>
      </c>
      <c r="C2">
        <v>0.27400000000000002</v>
      </c>
      <c r="E2" t="s">
        <v>97</v>
      </c>
      <c r="F2" t="s">
        <v>100</v>
      </c>
      <c r="G2" t="s">
        <v>101</v>
      </c>
      <c r="H2" t="s">
        <v>102</v>
      </c>
      <c r="I2" t="s">
        <v>103</v>
      </c>
    </row>
    <row r="3" spans="2:9">
      <c r="B3" t="s">
        <v>96</v>
      </c>
      <c r="C3">
        <v>0.27400000000000002</v>
      </c>
      <c r="E3" t="s">
        <v>98</v>
      </c>
      <c r="F3">
        <v>600</v>
      </c>
      <c r="G3">
        <v>2.4420289855072462E-6</v>
      </c>
      <c r="H3">
        <v>8.7913043478260854E-3</v>
      </c>
      <c r="I3">
        <v>1.4652173913043476E-3</v>
      </c>
    </row>
    <row r="4" spans="2:9">
      <c r="E4" t="s">
        <v>99</v>
      </c>
      <c r="F4">
        <v>770</v>
      </c>
      <c r="G4">
        <v>4.0711462450592887E-6</v>
      </c>
      <c r="H4">
        <v>1.465612648221344E-2</v>
      </c>
      <c r="I4">
        <v>3.1347826086956525E-3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Componenti</vt:lpstr>
      <vt:lpstr>Stream</vt:lpstr>
      <vt:lpstr>Stream Out</vt:lpstr>
      <vt:lpstr>Comp Out</vt:lpstr>
      <vt:lpstr>Eff 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 di Microsoft Office</dc:creator>
  <cp:lastModifiedBy>Utente di Microsoft Office</cp:lastModifiedBy>
  <dcterms:created xsi:type="dcterms:W3CDTF">2020-01-23T13:37:50Z</dcterms:created>
  <dcterms:modified xsi:type="dcterms:W3CDTF">2020-12-22T09:37:00Z</dcterms:modified>
</cp:coreProperties>
</file>